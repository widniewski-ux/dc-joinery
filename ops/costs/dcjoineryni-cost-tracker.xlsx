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2026-09-01</t>
        </is>
      </c>
      <c r="B2" t="inlineStr">
        <is>
          <t>Vercel</t>
        </is>
      </c>
      <c r="C2" t="inlineStr">
        <is>
          <t>Hosting plan (Hobby)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Plan detected from Vercel API (28-day audit window).</t>
        </is>
      </c>
      <c r="K2" t="inlineStr">
        <is>
          <t>verified</t>
        </is>
      </c>
      <c r="L2" t="inlineStr">
        <is>
          <t>Vercel team billing.plan=hobby</t>
        </is>
      </c>
    </row>
    <row r="3">
      <c r="A3" t="inlineStr">
        <is>
          <t>2026-09-01</t>
        </is>
      </c>
      <c r="B3" t="inlineStr">
        <is>
          <t>Supabase</t>
        </is>
      </c>
      <c r="C3" t="inlineStr">
        <is>
          <t>Database + storage</t>
        </is>
      </c>
      <c r="D3" t="inlineStr">
        <is>
          <t>Hosting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Real amount not inferred. Fill from invoice/export.</t>
        </is>
      </c>
      <c r="K3" t="inlineStr">
        <is>
          <t>pending</t>
        </is>
      </c>
      <c r="L3" t="inlineStr">
        <is>
          <t>jobs_28d=1 storage_probe_status=406 storage_probe_details={'code': 'PGRST106', 'details': None, 'hint': 'Only the following schemas are exposed: public, graphql_public', 'message': 'Invalid schema: storage'}</t>
        </is>
      </c>
    </row>
    <row r="4">
      <c r="A4" t="inlineStr">
        <is>
          <t>2026-09-01</t>
        </is>
      </c>
      <c r="B4" t="inlineStr">
        <is>
          <t>Resend</t>
        </is>
      </c>
      <c r="C4" t="inlineStr">
        <is>
          <t>Transactional email</t>
        </is>
      </c>
      <c r="D4" t="inlineStr">
        <is>
          <t>Email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Real amount not inferred. Fill from invoice/export.</t>
        </is>
      </c>
      <c r="K4" t="inlineStr">
        <is>
          <t>pending</t>
        </is>
      </c>
      <c r="L4" t="inlineStr">
        <is>
          <t>emails_28d=2 api_status=200</t>
        </is>
      </c>
    </row>
    <row r="5">
      <c r="A5" t="inlineStr">
        <is>
          <t>2026-09-01</t>
        </is>
      </c>
      <c r="B5" t="inlineStr">
        <is>
          <t>OpenAI</t>
        </is>
      </c>
      <c r="C5" t="inlineStr">
        <is>
          <t>Model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Real amount not inferred. Fill from invoice/export.</t>
        </is>
      </c>
      <c r="K5" t="inlineStr">
        <is>
          <t>pending</t>
        </is>
      </c>
      <c r="L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</row>
    <row r="6">
      <c r="A6" t="inlineStr">
        <is>
          <t>2026-09-01</t>
        </is>
      </c>
      <c r="B6" t="inlineStr">
        <is>
          <t>Replicate</t>
        </is>
      </c>
      <c r="C6" t="inlineStr">
        <is>
          <t>Image generation usage</t>
        </is>
      </c>
      <c r="D6" t="inlineStr">
        <is>
          <t>AI/API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Real amount not inferred. Fill from invoice/export.</t>
        </is>
      </c>
      <c r="K6" t="inlineStr">
        <is>
          <t>pending</t>
        </is>
      </c>
      <c r="L6" t="inlineStr">
        <is>
          <t>predictions_28d=1 predict_time_sec_28d=9.38</t>
        </is>
      </c>
    </row>
    <row r="7">
      <c r="A7" t="inlineStr">
        <is>
          <t>2026-09-01</t>
        </is>
      </c>
      <c r="B7" t="inlineStr">
        <is>
          <t>PDFShift</t>
        </is>
      </c>
      <c r="C7" t="inlineStr">
        <is>
          <t>PDF generation usage</t>
        </is>
      </c>
      <c r="D7" t="inlineStr">
        <is>
          <t>Tools</t>
        </is>
      </c>
      <c r="E7" t="inlineStr">
        <is>
          <t>monthly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Real amount not inferred. Fill from invoice/export.</t>
        </is>
      </c>
      <c r="K7" t="inlineStr">
        <is>
          <t>pending</t>
        </is>
      </c>
      <c r="L7" t="inlineStr">
        <is>
          <t>status=None mode=x-api-key details={'error': 'Expecting value: line 1 column 1 (char 0)'}</t>
        </is>
      </c>
    </row>
    <row r="8">
      <c r="A8" t="inlineStr">
        <is>
          <t>2026-09-01</t>
        </is>
      </c>
      <c r="B8" t="inlineStr">
        <is>
          <t>Domain Registrar</t>
        </is>
      </c>
      <c r="C8" t="inlineStr">
        <is>
          <t>dcjoineryni.uk domain</t>
        </is>
      </c>
      <c r="D8" t="inlineStr">
        <is>
          <t>Domain</t>
        </is>
      </c>
      <c r="E8" t="inlineStr">
        <is>
          <t>yearly</t>
        </is>
      </c>
      <c r="F8" t="n">
        <v>0</v>
      </c>
      <c r="G8" t="n">
        <v>1</v>
      </c>
      <c r="H8">
        <f>F8*G8</f>
        <v/>
      </c>
      <c r="I8">
        <f>IF(E8="monthly",H8,IF(E8="yearly",H8/12,0))</f>
        <v/>
      </c>
      <c r="J8" t="inlineStr">
        <is>
          <t>Real amount not inferred. Fill from invoice/export.</t>
        </is>
      </c>
      <c r="K8" t="inlineStr">
        <is>
          <t>pending</t>
        </is>
      </c>
      <c r="L8" t="inlineStr">
        <is>
          <t>Credential present, invoice/usage amount still required.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2026-08-04</t>
        </is>
      </c>
      <c r="B2" t="inlineStr">
        <is>
          <t>2026-08-11</t>
        </is>
      </c>
      <c r="C2">
        <f>SUMIFS(Costs!$H:$H,Costs!$A:$A,"&gt;="&amp;A2,Costs!$A:$A,"&lt;"&amp;B2)</f>
        <v/>
      </c>
    </row>
    <row r="3">
      <c r="A3" t="inlineStr">
        <is>
          <t>2026-08-11</t>
        </is>
      </c>
      <c r="B3" t="inlineStr">
        <is>
          <t>2026-08-18</t>
        </is>
      </c>
      <c r="C3">
        <f>SUMIFS(Costs!$H:$H,Costs!$A:$A,"&gt;="&amp;A3,Costs!$A:$A,"&lt;"&amp;B3)</f>
        <v/>
      </c>
    </row>
    <row r="4">
      <c r="A4" t="inlineStr">
        <is>
          <t>2026-08-18</t>
        </is>
      </c>
      <c r="B4" t="inlineStr">
        <is>
          <t>2026-08-25</t>
        </is>
      </c>
      <c r="C4">
        <f>SUMIFS(Costs!$H:$H,Costs!$A:$A,"&gt;="&amp;A4,Costs!$A:$A,"&lt;"&amp;B4)</f>
        <v/>
      </c>
    </row>
    <row r="5">
      <c r="A5" t="inlineStr">
        <is>
          <t>2026-08-25</t>
        </is>
      </c>
      <c r="B5" t="inlineStr">
        <is>
          <t>2026-09-01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</t>
        </is>
      </c>
      <c r="D2" t="inlineStr">
        <is>
          <t>2026-09-01T11:41:14Z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 storage_probe_status=406 storage_probe_details={'code': 'PGRST106', 'details': None, 'hint': 'Only the following schemas are exposed: public, graphql_public', 'message': 'Invalid schema: storage'}</t>
        </is>
      </c>
      <c r="D3" t="inlineStr">
        <is>
          <t>2026-09-01T11:41:14Z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emails_28d=2 api_status=200</t>
        </is>
      </c>
      <c r="D4" t="inlineStr">
        <is>
          <t>2026-09-01T11:41:14Z</t>
        </is>
      </c>
    </row>
    <row r="5">
      <c r="A5" t="inlineStr">
        <is>
          <t>OpenAI</t>
        </is>
      </c>
      <c r="B5" t="inlineStr">
        <is>
          <t>pending</t>
        </is>
      </c>
      <c r="C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  <c r="D5" t="inlineStr">
        <is>
          <t>2026-09-01T11:41:14Z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predictions_28d=1 predict_time_sec_28d=9.38</t>
        </is>
      </c>
      <c r="D6" t="inlineStr">
        <is>
          <t>2026-09-01T11:41:14Z</t>
        </is>
      </c>
    </row>
    <row r="7">
      <c r="A7" t="inlineStr">
        <is>
          <t>PDFShift</t>
        </is>
      </c>
      <c r="B7" t="inlineStr">
        <is>
          <t>pending</t>
        </is>
      </c>
      <c r="C7" t="inlineStr">
        <is>
          <t>status=None mode=x-api-key details={'error': 'Expecting value: line 1 column 1 (char 0)'}</t>
        </is>
      </c>
      <c r="D7" t="inlineStr">
        <is>
          <t>2026-09-01T11:41:14Z</t>
        </is>
      </c>
    </row>
    <row r="8">
      <c r="A8" t="inlineStr">
        <is>
          <t>Domain Registrar</t>
        </is>
      </c>
      <c r="B8" t="inlineStr">
        <is>
          <t>pending</t>
        </is>
      </c>
      <c r="C8" t="inlineStr">
        <is>
          <t>Credential present, invoice/usage amount still required.</t>
        </is>
      </c>
      <c r="D8" t="inlineStr">
        <is>
          <t>2026-09-01T11:41:14Z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2026-09-01T11:41:19Z</dcterms:created>
  <dcterms:modified xsi:type="dcterms:W3CDTF">2026-09-01T11:41:19Z</dcterms:modified>
</cp:coreProperties>
</file>