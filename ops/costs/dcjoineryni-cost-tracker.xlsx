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s" sheetId="1" state="visible" r:id="rId1"/>
    <sheet name="Monthly Report" sheetId="2" state="visible" r:id="rId2"/>
    <sheet name="Last 4 Weeks" sheetId="3" state="visible" r:id="rId3"/>
    <sheet name="Dashboard" sheetId="4" state="visible" r:id="rId4"/>
    <sheet name="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Cost split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'Dashboard'!B8</f>
            </strRef>
          </tx>
          <spPr>
            <a:ln>
              <a:prstDash val="solid"/>
            </a:ln>
          </spPr>
          <cat>
            <numRef>
              <f>'Dashboard'!$A$9:$A$14</f>
            </numRef>
          </cat>
          <val>
            <numRef>
              <f>'Dashboard'!$B$9:$B$14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spend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Report'!B1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Report'!$A$2:$A$13</f>
            </numRef>
          </cat>
          <val>
            <numRef>
              <f>'Monthly Report'!$B$2:$B$13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36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34" customWidth="1" min="3" max="3"/>
    <col width="14" customWidth="1" min="4" max="4"/>
    <col width="12" customWidth="1" min="5" max="5"/>
    <col width="12" customWidth="1" min="6" max="6"/>
    <col width="8" customWidth="1" min="7" max="7"/>
    <col width="14" customWidth="1" min="8" max="8"/>
    <col width="20" customWidth="1" min="9" max="9"/>
    <col width="42" customWidth="1" min="10" max="10"/>
    <col width="18" customWidth="1" min="11" max="11"/>
    <col width="48" customWidth="1" min="12" max="12"/>
  </cols>
  <sheetData>
    <row r="1">
      <c r="A1" s="1" t="inlineStr">
        <is>
          <t>Date</t>
        </is>
      </c>
      <c r="B1" s="1" t="inlineStr">
        <is>
          <t>Vendor</t>
        </is>
      </c>
      <c r="C1" s="1" t="inlineStr">
        <is>
          <t>Service</t>
        </is>
      </c>
      <c r="D1" s="1" t="inlineStr">
        <is>
          <t>Category</t>
        </is>
      </c>
      <c r="E1" s="1" t="inlineStr">
        <is>
          <t>BillingCycle</t>
        </is>
      </c>
      <c r="F1" s="1" t="inlineStr">
        <is>
          <t>UnitCostGBP</t>
        </is>
      </c>
      <c r="G1" s="1" t="inlineStr">
        <is>
          <t>Qty</t>
        </is>
      </c>
      <c r="H1" s="1" t="inlineStr">
        <is>
          <t>TotalCostGBP</t>
        </is>
      </c>
      <c r="I1" s="1" t="inlineStr">
        <is>
          <t>MonthlyEquivalentGBP</t>
        </is>
      </c>
      <c r="J1" s="1" t="inlineStr">
        <is>
          <t>Notes</t>
        </is>
      </c>
      <c r="K1" s="1" t="inlineStr">
        <is>
          <t>VerificationStatus</t>
        </is>
      </c>
      <c r="L1" s="1" t="inlineStr">
        <is>
          <t>Evidence</t>
        </is>
      </c>
    </row>
    <row r="2">
      <c r="A2" t="inlineStr">
        <is>
          <t>2026-08-18</t>
        </is>
      </c>
      <c r="B2" t="inlineStr">
        <is>
          <t>Vercel</t>
        </is>
      </c>
      <c r="C2" t="inlineStr">
        <is>
          <t>Hosting plan (Hobby)</t>
        </is>
      </c>
      <c r="D2" t="inlineStr">
        <is>
          <t>Hosting</t>
        </is>
      </c>
      <c r="E2" t="inlineStr">
        <is>
          <t>monthly</t>
        </is>
      </c>
      <c r="F2" t="n">
        <v>0</v>
      </c>
      <c r="G2" t="n">
        <v>1</v>
      </c>
      <c r="H2">
        <f>F2*G2</f>
        <v/>
      </c>
      <c r="I2">
        <f>IF(E2="monthly",H2,IF(E2="yearly",H2/12,0))</f>
        <v/>
      </c>
      <c r="J2" t="inlineStr">
        <is>
          <t>Plan detected from Vercel API (28-day audit window).</t>
        </is>
      </c>
      <c r="K2" t="inlineStr">
        <is>
          <t>verified</t>
        </is>
      </c>
      <c r="L2" t="inlineStr">
        <is>
          <t>Vercel team billing.plan=hobby</t>
        </is>
      </c>
    </row>
    <row r="3">
      <c r="A3" t="inlineStr">
        <is>
          <t>2026-08-18</t>
        </is>
      </c>
      <c r="B3" t="inlineStr">
        <is>
          <t>Supabase</t>
        </is>
      </c>
      <c r="C3" t="inlineStr">
        <is>
          <t>Database + storage</t>
        </is>
      </c>
      <c r="D3" t="inlineStr">
        <is>
          <t>Hosting</t>
        </is>
      </c>
      <c r="E3" t="inlineStr">
        <is>
          <t>monthly</t>
        </is>
      </c>
      <c r="F3" t="n">
        <v>0</v>
      </c>
      <c r="G3" t="n">
        <v>1</v>
      </c>
      <c r="H3">
        <f>F3*G3</f>
        <v/>
      </c>
      <c r="I3">
        <f>IF(E3="monthly",H3,IF(E3="yearly",H3/12,0))</f>
        <v/>
      </c>
      <c r="J3" t="inlineStr">
        <is>
          <t>Real amount not inferred. Fill from invoice/export.</t>
        </is>
      </c>
      <c r="K3" t="inlineStr">
        <is>
          <t>pending</t>
        </is>
      </c>
      <c r="L3" t="inlineStr">
        <is>
          <t>jobs_28d=45 storage_probe_status=406 storage_probe_details={'code': 'PGRST106', 'details': None, 'hint': 'Only the following schemas are exposed: public, graphql_public', 'message': 'Invalid schema: storage'}</t>
        </is>
      </c>
    </row>
    <row r="4">
      <c r="A4" t="inlineStr">
        <is>
          <t>2026-08-18</t>
        </is>
      </c>
      <c r="B4" t="inlineStr">
        <is>
          <t>Resend</t>
        </is>
      </c>
      <c r="C4" t="inlineStr">
        <is>
          <t>Transactional email</t>
        </is>
      </c>
      <c r="D4" t="inlineStr">
        <is>
          <t>Email</t>
        </is>
      </c>
      <c r="E4" t="inlineStr">
        <is>
          <t>monthly</t>
        </is>
      </c>
      <c r="F4" t="n">
        <v>0</v>
      </c>
      <c r="G4" t="n">
        <v>1</v>
      </c>
      <c r="H4">
        <f>F4*G4</f>
        <v/>
      </c>
      <c r="I4">
        <f>IF(E4="monthly",H4,IF(E4="yearly",H4/12,0))</f>
        <v/>
      </c>
      <c r="J4" t="inlineStr">
        <is>
          <t>Real amount not inferred. Fill from invoice/export.</t>
        </is>
      </c>
      <c r="K4" t="inlineStr">
        <is>
          <t>pending</t>
        </is>
      </c>
      <c r="L4" t="inlineStr">
        <is>
          <t>emails_28d=4 api_status=200</t>
        </is>
      </c>
    </row>
    <row r="5">
      <c r="A5" t="inlineStr">
        <is>
          <t>2026-08-18</t>
        </is>
      </c>
      <c r="B5" t="inlineStr">
        <is>
          <t>OpenAI</t>
        </is>
      </c>
      <c r="C5" t="inlineStr">
        <is>
          <t>Model usage</t>
        </is>
      </c>
      <c r="D5" t="inlineStr">
        <is>
          <t>AI/API</t>
        </is>
      </c>
      <c r="E5" t="inlineStr">
        <is>
          <t>monthly</t>
        </is>
      </c>
      <c r="F5" t="n">
        <v>0</v>
      </c>
      <c r="G5" t="n">
        <v>1</v>
      </c>
      <c r="H5">
        <f>F5*G5</f>
        <v/>
      </c>
      <c r="I5">
        <f>IF(E5="monthly",H5,IF(E5="yearly",H5/12,0))</f>
        <v/>
      </c>
      <c r="J5" t="inlineStr">
        <is>
          <t>Real amount not inferred. Fill from invoice/export.</t>
        </is>
      </c>
      <c r="K5" t="inlineStr">
        <is>
          <t>pending</t>
        </is>
      </c>
      <c r="L5" t="inlineStr">
        <is>
          <t>status=403 details={'error': "You have insufficient permissions for this operation. Missing scopes: api.usage.read. Check that you have the correct role in your organization, and if you're using a restricted API key, that it has the necessary scopes."}</t>
        </is>
      </c>
    </row>
    <row r="6">
      <c r="A6" t="inlineStr">
        <is>
          <t>2026-08-18</t>
        </is>
      </c>
      <c r="B6" t="inlineStr">
        <is>
          <t>Replicate</t>
        </is>
      </c>
      <c r="C6" t="inlineStr">
        <is>
          <t>Image generation usage</t>
        </is>
      </c>
      <c r="D6" t="inlineStr">
        <is>
          <t>AI/API</t>
        </is>
      </c>
      <c r="E6" t="inlineStr">
        <is>
          <t>monthly</t>
        </is>
      </c>
      <c r="F6" t="n">
        <v>0</v>
      </c>
      <c r="G6" t="n">
        <v>1</v>
      </c>
      <c r="H6">
        <f>F6*G6</f>
        <v/>
      </c>
      <c r="I6">
        <f>IF(E6="monthly",H6,IF(E6="yearly",H6/12,0))</f>
        <v/>
      </c>
      <c r="J6" t="inlineStr">
        <is>
          <t>Real amount not inferred. Fill from invoice/export.</t>
        </is>
      </c>
      <c r="K6" t="inlineStr">
        <is>
          <t>pending</t>
        </is>
      </c>
      <c r="L6" t="inlineStr">
        <is>
          <t>predictions_28d=33 predict_time_sec_28d=603.16</t>
        </is>
      </c>
    </row>
    <row r="7">
      <c r="A7" t="inlineStr">
        <is>
          <t>2026-08-18</t>
        </is>
      </c>
      <c r="B7" t="inlineStr">
        <is>
          <t>PDFShift</t>
        </is>
      </c>
      <c r="C7" t="inlineStr">
        <is>
          <t>PDF generation usage</t>
        </is>
      </c>
      <c r="D7" t="inlineStr">
        <is>
          <t>Tools</t>
        </is>
      </c>
      <c r="E7" t="inlineStr">
        <is>
          <t>monthly</t>
        </is>
      </c>
      <c r="F7" t="n">
        <v>0</v>
      </c>
      <c r="G7" t="n">
        <v>1</v>
      </c>
      <c r="H7">
        <f>F7*G7</f>
        <v/>
      </c>
      <c r="I7">
        <f>IF(E7="monthly",H7,IF(E7="yearly",H7/12,0))</f>
        <v/>
      </c>
      <c r="J7" t="inlineStr">
        <is>
          <t>Real amount not inferred. Fill from invoice/export.</t>
        </is>
      </c>
      <c r="K7" t="inlineStr">
        <is>
          <t>pending</t>
        </is>
      </c>
      <c r="L7" t="inlineStr">
        <is>
          <t>status=403 mode=x-api-key details={'success': False, 'error': 'No remaining credits left.', 'code': 403}</t>
        </is>
      </c>
    </row>
    <row r="8">
      <c r="A8" t="inlineStr">
        <is>
          <t>2026-08-18</t>
        </is>
      </c>
      <c r="B8" t="inlineStr">
        <is>
          <t>Domain Registrar</t>
        </is>
      </c>
      <c r="C8" t="inlineStr">
        <is>
          <t>dcjoineryni.uk domain</t>
        </is>
      </c>
      <c r="D8" t="inlineStr">
        <is>
          <t>Domain</t>
        </is>
      </c>
      <c r="E8" t="inlineStr">
        <is>
          <t>yearly</t>
        </is>
      </c>
      <c r="F8" t="n">
        <v>0</v>
      </c>
      <c r="G8" t="n">
        <v>1</v>
      </c>
      <c r="H8">
        <f>F8*G8</f>
        <v/>
      </c>
      <c r="I8">
        <f>IF(E8="monthly",H8,IF(E8="yearly",H8/12,0))</f>
        <v/>
      </c>
      <c r="J8" t="inlineStr">
        <is>
          <t>Real amount not inferred. Fill from invoice/export.</t>
        </is>
      </c>
      <c r="K8" t="inlineStr">
        <is>
          <t>pending</t>
        </is>
      </c>
      <c r="L8" t="inlineStr">
        <is>
          <t>Credential present, invoice/usage amount still required.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Month</t>
        </is>
      </c>
      <c r="B1" s="1" t="inlineStr">
        <is>
          <t>TotalSpentGBP</t>
        </is>
      </c>
      <c r="C1" s="1" t="inlineStr">
        <is>
          <t>Domain</t>
        </is>
      </c>
      <c r="D1" s="1" t="inlineStr">
        <is>
          <t>Hosting</t>
        </is>
      </c>
      <c r="E1" s="1" t="inlineStr">
        <is>
          <t>Email</t>
        </is>
      </c>
      <c r="F1" s="1" t="inlineStr">
        <is>
          <t>AI/API</t>
        </is>
      </c>
      <c r="G1" s="1" t="inlineStr">
        <is>
          <t>Tools</t>
        </is>
      </c>
      <c r="H1" s="1" t="inlineStr">
        <is>
          <t>Other</t>
        </is>
      </c>
    </row>
    <row r="2">
      <c r="A2" t="inlineStr">
        <is>
          <t>2026-01</t>
        </is>
      </c>
      <c r="B2">
        <f>SUMIFS(Costs!$H:$H,Costs!$A:$A,"&gt;=2026-01-01",Costs!$A:$A,"&lt;2026-02-01")</f>
        <v/>
      </c>
      <c r="C2">
        <f>SUMIFS(Costs!$H:$H,Costs!$A:$A,"&gt;=2026-01-01",Costs!$A:$A,"&lt;2026-02-01",Costs!$D:$D,"Domain")</f>
        <v/>
      </c>
      <c r="D2">
        <f>SUMIFS(Costs!$H:$H,Costs!$A:$A,"&gt;=2026-01-01",Costs!$A:$A,"&lt;2026-02-01",Costs!$D:$D,"Hosting")</f>
        <v/>
      </c>
      <c r="E2">
        <f>SUMIFS(Costs!$H:$H,Costs!$A:$A,"&gt;=2026-01-01",Costs!$A:$A,"&lt;2026-02-01",Costs!$D:$D,"Email")</f>
        <v/>
      </c>
      <c r="F2">
        <f>SUMIFS(Costs!$H:$H,Costs!$A:$A,"&gt;=2026-01-01",Costs!$A:$A,"&lt;2026-02-01",Costs!$D:$D,"AI/API")</f>
        <v/>
      </c>
      <c r="G2">
        <f>SUMIFS(Costs!$H:$H,Costs!$A:$A,"&gt;=2026-01-01",Costs!$A:$A,"&lt;2026-02-01",Costs!$D:$D,"Tools")</f>
        <v/>
      </c>
      <c r="H2">
        <f>SUMIFS(Costs!$H:$H,Costs!$A:$A,"&gt;=2026-01-01",Costs!$A:$A,"&lt;2026-02-01",Costs!$D:$D,"Other")</f>
        <v/>
      </c>
    </row>
    <row r="3">
      <c r="A3" t="inlineStr">
        <is>
          <t>2026-02</t>
        </is>
      </c>
      <c r="B3">
        <f>SUMIFS(Costs!$H:$H,Costs!$A:$A,"&gt;=2026-02-01",Costs!$A:$A,"&lt;2026-03-01")</f>
        <v/>
      </c>
      <c r="C3">
        <f>SUMIFS(Costs!$H:$H,Costs!$A:$A,"&gt;=2026-02-01",Costs!$A:$A,"&lt;2026-03-01",Costs!$D:$D,"Domain")</f>
        <v/>
      </c>
      <c r="D3">
        <f>SUMIFS(Costs!$H:$H,Costs!$A:$A,"&gt;=2026-02-01",Costs!$A:$A,"&lt;2026-03-01",Costs!$D:$D,"Hosting")</f>
        <v/>
      </c>
      <c r="E3">
        <f>SUMIFS(Costs!$H:$H,Costs!$A:$A,"&gt;=2026-02-01",Costs!$A:$A,"&lt;2026-03-01",Costs!$D:$D,"Email")</f>
        <v/>
      </c>
      <c r="F3">
        <f>SUMIFS(Costs!$H:$H,Costs!$A:$A,"&gt;=2026-02-01",Costs!$A:$A,"&lt;2026-03-01",Costs!$D:$D,"AI/API")</f>
        <v/>
      </c>
      <c r="G3">
        <f>SUMIFS(Costs!$H:$H,Costs!$A:$A,"&gt;=2026-02-01",Costs!$A:$A,"&lt;2026-03-01",Costs!$D:$D,"Tools")</f>
        <v/>
      </c>
      <c r="H3">
        <f>SUMIFS(Costs!$H:$H,Costs!$A:$A,"&gt;=2026-02-01",Costs!$A:$A,"&lt;2026-03-01",Costs!$D:$D,"Other")</f>
        <v/>
      </c>
    </row>
    <row r="4">
      <c r="A4" t="inlineStr">
        <is>
          <t>2026-03</t>
        </is>
      </c>
      <c r="B4">
        <f>SUMIFS(Costs!$H:$H,Costs!$A:$A,"&gt;=2026-03-01",Costs!$A:$A,"&lt;2026-04-01")</f>
        <v/>
      </c>
      <c r="C4">
        <f>SUMIFS(Costs!$H:$H,Costs!$A:$A,"&gt;=2026-03-01",Costs!$A:$A,"&lt;2026-04-01",Costs!$D:$D,"Domain")</f>
        <v/>
      </c>
      <c r="D4">
        <f>SUMIFS(Costs!$H:$H,Costs!$A:$A,"&gt;=2026-03-01",Costs!$A:$A,"&lt;2026-04-01",Costs!$D:$D,"Hosting")</f>
        <v/>
      </c>
      <c r="E4">
        <f>SUMIFS(Costs!$H:$H,Costs!$A:$A,"&gt;=2026-03-01",Costs!$A:$A,"&lt;2026-04-01",Costs!$D:$D,"Email")</f>
        <v/>
      </c>
      <c r="F4">
        <f>SUMIFS(Costs!$H:$H,Costs!$A:$A,"&gt;=2026-03-01",Costs!$A:$A,"&lt;2026-04-01",Costs!$D:$D,"AI/API")</f>
        <v/>
      </c>
      <c r="G4">
        <f>SUMIFS(Costs!$H:$H,Costs!$A:$A,"&gt;=2026-03-01",Costs!$A:$A,"&lt;2026-04-01",Costs!$D:$D,"Tools")</f>
        <v/>
      </c>
      <c r="H4">
        <f>SUMIFS(Costs!$H:$H,Costs!$A:$A,"&gt;=2026-03-01",Costs!$A:$A,"&lt;2026-04-01",Costs!$D:$D,"Other")</f>
        <v/>
      </c>
    </row>
    <row r="5">
      <c r="A5" t="inlineStr">
        <is>
          <t>2026-04</t>
        </is>
      </c>
      <c r="B5">
        <f>SUMIFS(Costs!$H:$H,Costs!$A:$A,"&gt;=2026-04-01",Costs!$A:$A,"&lt;2026-05-01")</f>
        <v/>
      </c>
      <c r="C5">
        <f>SUMIFS(Costs!$H:$H,Costs!$A:$A,"&gt;=2026-04-01",Costs!$A:$A,"&lt;2026-05-01",Costs!$D:$D,"Domain")</f>
        <v/>
      </c>
      <c r="D5">
        <f>SUMIFS(Costs!$H:$H,Costs!$A:$A,"&gt;=2026-04-01",Costs!$A:$A,"&lt;2026-05-01",Costs!$D:$D,"Hosting")</f>
        <v/>
      </c>
      <c r="E5">
        <f>SUMIFS(Costs!$H:$H,Costs!$A:$A,"&gt;=2026-04-01",Costs!$A:$A,"&lt;2026-05-01",Costs!$D:$D,"Email")</f>
        <v/>
      </c>
      <c r="F5">
        <f>SUMIFS(Costs!$H:$H,Costs!$A:$A,"&gt;=2026-04-01",Costs!$A:$A,"&lt;2026-05-01",Costs!$D:$D,"AI/API")</f>
        <v/>
      </c>
      <c r="G5">
        <f>SUMIFS(Costs!$H:$H,Costs!$A:$A,"&gt;=2026-04-01",Costs!$A:$A,"&lt;2026-05-01",Costs!$D:$D,"Tools")</f>
        <v/>
      </c>
      <c r="H5">
        <f>SUMIFS(Costs!$H:$H,Costs!$A:$A,"&gt;=2026-04-01",Costs!$A:$A,"&lt;2026-05-01",Costs!$D:$D,"Other")</f>
        <v/>
      </c>
    </row>
    <row r="6">
      <c r="A6" t="inlineStr">
        <is>
          <t>2026-05</t>
        </is>
      </c>
      <c r="B6">
        <f>SUMIFS(Costs!$H:$H,Costs!$A:$A,"&gt;=2026-05-01",Costs!$A:$A,"&lt;2026-06-01")</f>
        <v/>
      </c>
      <c r="C6">
        <f>SUMIFS(Costs!$H:$H,Costs!$A:$A,"&gt;=2026-05-01",Costs!$A:$A,"&lt;2026-06-01",Costs!$D:$D,"Domain")</f>
        <v/>
      </c>
      <c r="D6">
        <f>SUMIFS(Costs!$H:$H,Costs!$A:$A,"&gt;=2026-05-01",Costs!$A:$A,"&lt;2026-06-01",Costs!$D:$D,"Hosting")</f>
        <v/>
      </c>
      <c r="E6">
        <f>SUMIFS(Costs!$H:$H,Costs!$A:$A,"&gt;=2026-05-01",Costs!$A:$A,"&lt;2026-06-01",Costs!$D:$D,"Email")</f>
        <v/>
      </c>
      <c r="F6">
        <f>SUMIFS(Costs!$H:$H,Costs!$A:$A,"&gt;=2026-05-01",Costs!$A:$A,"&lt;2026-06-01",Costs!$D:$D,"AI/API")</f>
        <v/>
      </c>
      <c r="G6">
        <f>SUMIFS(Costs!$H:$H,Costs!$A:$A,"&gt;=2026-05-01",Costs!$A:$A,"&lt;2026-06-01",Costs!$D:$D,"Tools")</f>
        <v/>
      </c>
      <c r="H6">
        <f>SUMIFS(Costs!$H:$H,Costs!$A:$A,"&gt;=2026-05-01",Costs!$A:$A,"&lt;2026-06-01",Costs!$D:$D,"Other")</f>
        <v/>
      </c>
    </row>
    <row r="7">
      <c r="A7" t="inlineStr">
        <is>
          <t>2026-06</t>
        </is>
      </c>
      <c r="B7">
        <f>SUMIFS(Costs!$H:$H,Costs!$A:$A,"&gt;=2026-06-01",Costs!$A:$A,"&lt;2026-07-01")</f>
        <v/>
      </c>
      <c r="C7">
        <f>SUMIFS(Costs!$H:$H,Costs!$A:$A,"&gt;=2026-06-01",Costs!$A:$A,"&lt;2026-07-01",Costs!$D:$D,"Domain")</f>
        <v/>
      </c>
      <c r="D7">
        <f>SUMIFS(Costs!$H:$H,Costs!$A:$A,"&gt;=2026-06-01",Costs!$A:$A,"&lt;2026-07-01",Costs!$D:$D,"Hosting")</f>
        <v/>
      </c>
      <c r="E7">
        <f>SUMIFS(Costs!$H:$H,Costs!$A:$A,"&gt;=2026-06-01",Costs!$A:$A,"&lt;2026-07-01",Costs!$D:$D,"Email")</f>
        <v/>
      </c>
      <c r="F7">
        <f>SUMIFS(Costs!$H:$H,Costs!$A:$A,"&gt;=2026-06-01",Costs!$A:$A,"&lt;2026-07-01",Costs!$D:$D,"AI/API")</f>
        <v/>
      </c>
      <c r="G7">
        <f>SUMIFS(Costs!$H:$H,Costs!$A:$A,"&gt;=2026-06-01",Costs!$A:$A,"&lt;2026-07-01",Costs!$D:$D,"Tools")</f>
        <v/>
      </c>
      <c r="H7">
        <f>SUMIFS(Costs!$H:$H,Costs!$A:$A,"&gt;=2026-06-01",Costs!$A:$A,"&lt;2026-07-01",Costs!$D:$D,"Other")</f>
        <v/>
      </c>
    </row>
    <row r="8">
      <c r="A8" t="inlineStr">
        <is>
          <t>2026-07</t>
        </is>
      </c>
      <c r="B8">
        <f>SUMIFS(Costs!$H:$H,Costs!$A:$A,"&gt;=2026-07-01",Costs!$A:$A,"&lt;2026-08-01")</f>
        <v/>
      </c>
      <c r="C8">
        <f>SUMIFS(Costs!$H:$H,Costs!$A:$A,"&gt;=2026-07-01",Costs!$A:$A,"&lt;2026-08-01",Costs!$D:$D,"Domain")</f>
        <v/>
      </c>
      <c r="D8">
        <f>SUMIFS(Costs!$H:$H,Costs!$A:$A,"&gt;=2026-07-01",Costs!$A:$A,"&lt;2026-08-01",Costs!$D:$D,"Hosting")</f>
        <v/>
      </c>
      <c r="E8">
        <f>SUMIFS(Costs!$H:$H,Costs!$A:$A,"&gt;=2026-07-01",Costs!$A:$A,"&lt;2026-08-01",Costs!$D:$D,"Email")</f>
        <v/>
      </c>
      <c r="F8">
        <f>SUMIFS(Costs!$H:$H,Costs!$A:$A,"&gt;=2026-07-01",Costs!$A:$A,"&lt;2026-08-01",Costs!$D:$D,"AI/API")</f>
        <v/>
      </c>
      <c r="G8">
        <f>SUMIFS(Costs!$H:$H,Costs!$A:$A,"&gt;=2026-07-01",Costs!$A:$A,"&lt;2026-08-01",Costs!$D:$D,"Tools")</f>
        <v/>
      </c>
      <c r="H8">
        <f>SUMIFS(Costs!$H:$H,Costs!$A:$A,"&gt;=2026-07-01",Costs!$A:$A,"&lt;2026-08-01",Costs!$D:$D,"Other")</f>
        <v/>
      </c>
    </row>
    <row r="9">
      <c r="A9" t="inlineStr">
        <is>
          <t>2026-08</t>
        </is>
      </c>
      <c r="B9">
        <f>SUMIFS(Costs!$H:$H,Costs!$A:$A,"&gt;=2026-08-01",Costs!$A:$A,"&lt;2026-09-01")</f>
        <v/>
      </c>
      <c r="C9">
        <f>SUMIFS(Costs!$H:$H,Costs!$A:$A,"&gt;=2026-08-01",Costs!$A:$A,"&lt;2026-09-01",Costs!$D:$D,"Domain")</f>
        <v/>
      </c>
      <c r="D9">
        <f>SUMIFS(Costs!$H:$H,Costs!$A:$A,"&gt;=2026-08-01",Costs!$A:$A,"&lt;2026-09-01",Costs!$D:$D,"Hosting")</f>
        <v/>
      </c>
      <c r="E9">
        <f>SUMIFS(Costs!$H:$H,Costs!$A:$A,"&gt;=2026-08-01",Costs!$A:$A,"&lt;2026-09-01",Costs!$D:$D,"Email")</f>
        <v/>
      </c>
      <c r="F9">
        <f>SUMIFS(Costs!$H:$H,Costs!$A:$A,"&gt;=2026-08-01",Costs!$A:$A,"&lt;2026-09-01",Costs!$D:$D,"AI/API")</f>
        <v/>
      </c>
      <c r="G9">
        <f>SUMIFS(Costs!$H:$H,Costs!$A:$A,"&gt;=2026-08-01",Costs!$A:$A,"&lt;2026-09-01",Costs!$D:$D,"Tools")</f>
        <v/>
      </c>
      <c r="H9">
        <f>SUMIFS(Costs!$H:$H,Costs!$A:$A,"&gt;=2026-08-01",Costs!$A:$A,"&lt;2026-09-01",Costs!$D:$D,"Other")</f>
        <v/>
      </c>
    </row>
    <row r="10">
      <c r="A10" t="inlineStr">
        <is>
          <t>2026-09</t>
        </is>
      </c>
      <c r="B10">
        <f>SUMIFS(Costs!$H:$H,Costs!$A:$A,"&gt;=2026-09-01",Costs!$A:$A,"&lt;2026-10-01")</f>
        <v/>
      </c>
      <c r="C10">
        <f>SUMIFS(Costs!$H:$H,Costs!$A:$A,"&gt;=2026-09-01",Costs!$A:$A,"&lt;2026-10-01",Costs!$D:$D,"Domain")</f>
        <v/>
      </c>
      <c r="D10">
        <f>SUMIFS(Costs!$H:$H,Costs!$A:$A,"&gt;=2026-09-01",Costs!$A:$A,"&lt;2026-10-01",Costs!$D:$D,"Hosting")</f>
        <v/>
      </c>
      <c r="E10">
        <f>SUMIFS(Costs!$H:$H,Costs!$A:$A,"&gt;=2026-09-01",Costs!$A:$A,"&lt;2026-10-01",Costs!$D:$D,"Email")</f>
        <v/>
      </c>
      <c r="F10">
        <f>SUMIFS(Costs!$H:$H,Costs!$A:$A,"&gt;=2026-09-01",Costs!$A:$A,"&lt;2026-10-01",Costs!$D:$D,"AI/API")</f>
        <v/>
      </c>
      <c r="G10">
        <f>SUMIFS(Costs!$H:$H,Costs!$A:$A,"&gt;=2026-09-01",Costs!$A:$A,"&lt;2026-10-01",Costs!$D:$D,"Tools")</f>
        <v/>
      </c>
      <c r="H10">
        <f>SUMIFS(Costs!$H:$H,Costs!$A:$A,"&gt;=2026-09-01",Costs!$A:$A,"&lt;2026-10-01",Costs!$D:$D,"Other")</f>
        <v/>
      </c>
    </row>
    <row r="11">
      <c r="A11" t="inlineStr">
        <is>
          <t>2026-10</t>
        </is>
      </c>
      <c r="B11">
        <f>SUMIFS(Costs!$H:$H,Costs!$A:$A,"&gt;=2026-10-01",Costs!$A:$A,"&lt;2026-11-01")</f>
        <v/>
      </c>
      <c r="C11">
        <f>SUMIFS(Costs!$H:$H,Costs!$A:$A,"&gt;=2026-10-01",Costs!$A:$A,"&lt;2026-11-01",Costs!$D:$D,"Domain")</f>
        <v/>
      </c>
      <c r="D11">
        <f>SUMIFS(Costs!$H:$H,Costs!$A:$A,"&gt;=2026-10-01",Costs!$A:$A,"&lt;2026-11-01",Costs!$D:$D,"Hosting")</f>
        <v/>
      </c>
      <c r="E11">
        <f>SUMIFS(Costs!$H:$H,Costs!$A:$A,"&gt;=2026-10-01",Costs!$A:$A,"&lt;2026-11-01",Costs!$D:$D,"Email")</f>
        <v/>
      </c>
      <c r="F11">
        <f>SUMIFS(Costs!$H:$H,Costs!$A:$A,"&gt;=2026-10-01",Costs!$A:$A,"&lt;2026-11-01",Costs!$D:$D,"AI/API")</f>
        <v/>
      </c>
      <c r="G11">
        <f>SUMIFS(Costs!$H:$H,Costs!$A:$A,"&gt;=2026-10-01",Costs!$A:$A,"&lt;2026-11-01",Costs!$D:$D,"Tools")</f>
        <v/>
      </c>
      <c r="H11">
        <f>SUMIFS(Costs!$H:$H,Costs!$A:$A,"&gt;=2026-10-01",Costs!$A:$A,"&lt;2026-11-01",Costs!$D:$D,"Other")</f>
        <v/>
      </c>
    </row>
    <row r="12">
      <c r="A12" t="inlineStr">
        <is>
          <t>2026-11</t>
        </is>
      </c>
      <c r="B12">
        <f>SUMIFS(Costs!$H:$H,Costs!$A:$A,"&gt;=2026-11-01",Costs!$A:$A,"&lt;2026-12-01")</f>
        <v/>
      </c>
      <c r="C12">
        <f>SUMIFS(Costs!$H:$H,Costs!$A:$A,"&gt;=2026-11-01",Costs!$A:$A,"&lt;2026-12-01",Costs!$D:$D,"Domain")</f>
        <v/>
      </c>
      <c r="D12">
        <f>SUMIFS(Costs!$H:$H,Costs!$A:$A,"&gt;=2026-11-01",Costs!$A:$A,"&lt;2026-12-01",Costs!$D:$D,"Hosting")</f>
        <v/>
      </c>
      <c r="E12">
        <f>SUMIFS(Costs!$H:$H,Costs!$A:$A,"&gt;=2026-11-01",Costs!$A:$A,"&lt;2026-12-01",Costs!$D:$D,"Email")</f>
        <v/>
      </c>
      <c r="F12">
        <f>SUMIFS(Costs!$H:$H,Costs!$A:$A,"&gt;=2026-11-01",Costs!$A:$A,"&lt;2026-12-01",Costs!$D:$D,"AI/API")</f>
        <v/>
      </c>
      <c r="G12">
        <f>SUMIFS(Costs!$H:$H,Costs!$A:$A,"&gt;=2026-11-01",Costs!$A:$A,"&lt;2026-12-01",Costs!$D:$D,"Tools")</f>
        <v/>
      </c>
      <c r="H12">
        <f>SUMIFS(Costs!$H:$H,Costs!$A:$A,"&gt;=2026-11-01",Costs!$A:$A,"&lt;2026-12-01",Costs!$D:$D,"Other")</f>
        <v/>
      </c>
    </row>
    <row r="13">
      <c r="A13" t="inlineStr">
        <is>
          <t>2026-12</t>
        </is>
      </c>
      <c r="B13">
        <f>SUMIFS(Costs!$H:$H,Costs!$A:$A,"&gt;=2026-12-01",Costs!$A:$A,"&lt;2027-01-01")</f>
        <v/>
      </c>
      <c r="C13">
        <f>SUMIFS(Costs!$H:$H,Costs!$A:$A,"&gt;=2026-12-01",Costs!$A:$A,"&lt;2027-01-01",Costs!$D:$D,"Domain")</f>
        <v/>
      </c>
      <c r="D13">
        <f>SUMIFS(Costs!$H:$H,Costs!$A:$A,"&gt;=2026-12-01",Costs!$A:$A,"&lt;2027-01-01",Costs!$D:$D,"Hosting")</f>
        <v/>
      </c>
      <c r="E13">
        <f>SUMIFS(Costs!$H:$H,Costs!$A:$A,"&gt;=2026-12-01",Costs!$A:$A,"&lt;2027-01-01",Costs!$D:$D,"Email")</f>
        <v/>
      </c>
      <c r="F13">
        <f>SUMIFS(Costs!$H:$H,Costs!$A:$A,"&gt;=2026-12-01",Costs!$A:$A,"&lt;2027-01-01",Costs!$D:$D,"AI/API")</f>
        <v/>
      </c>
      <c r="G13">
        <f>SUMIFS(Costs!$H:$H,Costs!$A:$A,"&gt;=2026-12-01",Costs!$A:$A,"&lt;2027-01-01",Costs!$D:$D,"Tools")</f>
        <v/>
      </c>
      <c r="H13">
        <f>SUMIFS(Costs!$H:$H,Costs!$A:$A,"&gt;=2026-12-01",Costs!$A:$A,"&lt;2027-01-01",Costs!$D:$D,"Other")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</cols>
  <sheetData>
    <row r="1">
      <c r="A1" s="1" t="inlineStr">
        <is>
          <t>WindowStart</t>
        </is>
      </c>
      <c r="B1" s="1" t="inlineStr">
        <is>
          <t>WindowEnd</t>
        </is>
      </c>
      <c r="C1" s="1" t="inlineStr">
        <is>
          <t>TotalSpentGBP</t>
        </is>
      </c>
    </row>
    <row r="2">
      <c r="A2" t="inlineStr">
        <is>
          <t>2026-07-21</t>
        </is>
      </c>
      <c r="B2" t="inlineStr">
        <is>
          <t>2026-07-28</t>
        </is>
      </c>
      <c r="C2">
        <f>SUMIFS(Costs!$H:$H,Costs!$A:$A,"&gt;="&amp;A2,Costs!$A:$A,"&lt;"&amp;B2)</f>
        <v/>
      </c>
    </row>
    <row r="3">
      <c r="A3" t="inlineStr">
        <is>
          <t>2026-07-28</t>
        </is>
      </c>
      <c r="B3" t="inlineStr">
        <is>
          <t>2026-08-04</t>
        </is>
      </c>
      <c r="C3">
        <f>SUMIFS(Costs!$H:$H,Costs!$A:$A,"&gt;="&amp;A3,Costs!$A:$A,"&lt;"&amp;B3)</f>
        <v/>
      </c>
    </row>
    <row r="4">
      <c r="A4" t="inlineStr">
        <is>
          <t>2026-08-04</t>
        </is>
      </c>
      <c r="B4" t="inlineStr">
        <is>
          <t>2026-08-11</t>
        </is>
      </c>
      <c r="C4">
        <f>SUMIFS(Costs!$H:$H,Costs!$A:$A,"&gt;="&amp;A4,Costs!$A:$A,"&lt;"&amp;B4)</f>
        <v/>
      </c>
    </row>
    <row r="5">
      <c r="A5" t="inlineStr">
        <is>
          <t>2026-08-11</t>
        </is>
      </c>
      <c r="B5" t="inlineStr">
        <is>
          <t>2026-08-18</t>
        </is>
      </c>
      <c r="C5">
        <f>SUMIFS(Costs!$H:$H,Costs!$A:$A,"&gt;="&amp;A5,Costs!$A:$A,"&lt;"&amp;B5)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DC Joinery - Cost Dashboard</t>
        </is>
      </c>
    </row>
    <row r="3">
      <c r="A3" t="inlineStr">
        <is>
          <t>Total project spend</t>
        </is>
      </c>
      <c r="B3">
        <f>SUM(Costs!H:H)</f>
        <v/>
      </c>
    </row>
    <row r="4">
      <c r="A4" t="inlineStr">
        <is>
          <t>Monthly recurring equivalent</t>
        </is>
      </c>
      <c r="B4">
        <f>SUM(Costs!I:I)</f>
        <v/>
      </c>
    </row>
    <row r="5">
      <c r="A5" t="inlineStr">
        <is>
          <t>Average monthly spend (this year)</t>
        </is>
      </c>
      <c r="B5">
        <f>AVERAGE('Monthly Report'!B2:B13)</f>
        <v/>
      </c>
    </row>
    <row r="6">
      <c r="A6" t="inlineStr">
        <is>
          <t>Rolling 4 weeks spend</t>
        </is>
      </c>
      <c r="B6">
        <f>SUM('Last 4 Weeks'!C2:C5)</f>
        <v/>
      </c>
    </row>
    <row r="7">
      <c r="A7" t="inlineStr">
        <is>
          <t>Cost by category</t>
        </is>
      </c>
    </row>
    <row r="8">
      <c r="A8" s="1" t="inlineStr">
        <is>
          <t>Category</t>
        </is>
      </c>
      <c r="B8" s="1" t="inlineStr">
        <is>
          <t>TotalGBP</t>
        </is>
      </c>
    </row>
    <row r="9">
      <c r="A9" t="inlineStr">
        <is>
          <t>Domain</t>
        </is>
      </c>
      <c r="B9">
        <f>SUMIFS(Costs!$H:$H,Costs!$D:$D,"Domain")</f>
        <v/>
      </c>
    </row>
    <row r="10">
      <c r="A10" t="inlineStr">
        <is>
          <t>Hosting</t>
        </is>
      </c>
      <c r="B10">
        <f>SUMIFS(Costs!$H:$H,Costs!$D:$D,"Hosting")</f>
        <v/>
      </c>
    </row>
    <row r="11">
      <c r="A11" t="inlineStr">
        <is>
          <t>Email</t>
        </is>
      </c>
      <c r="B11">
        <f>SUMIFS(Costs!$H:$H,Costs!$D:$D,"Email")</f>
        <v/>
      </c>
    </row>
    <row r="12">
      <c r="A12" t="inlineStr">
        <is>
          <t>AI/API</t>
        </is>
      </c>
      <c r="B12">
        <f>SUMIFS(Costs!$H:$H,Costs!$D:$D,"AI/API")</f>
        <v/>
      </c>
    </row>
    <row r="13">
      <c r="A13" t="inlineStr">
        <is>
          <t>Tools</t>
        </is>
      </c>
      <c r="B13">
        <f>SUMIFS(Costs!$H:$H,Costs!$D:$D,"Tools")</f>
        <v/>
      </c>
    </row>
    <row r="14">
      <c r="A14" t="inlineStr">
        <is>
          <t>Other</t>
        </is>
      </c>
      <c r="B14">
        <f>SUMIFS(Costs!$H:$H,Costs!$D:$D,"Other")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0" customWidth="1" min="3" max="3"/>
    <col width="22" customWidth="1" min="4" max="4"/>
  </cols>
  <sheetData>
    <row r="1">
      <c r="A1" s="1" t="inlineStr">
        <is>
          <t>Provider</t>
        </is>
      </c>
      <c r="B1" s="1" t="inlineStr">
        <is>
          <t>Status</t>
        </is>
      </c>
      <c r="C1" s="1" t="inlineStr">
        <is>
          <t>Details</t>
        </is>
      </c>
      <c r="D1" s="1" t="inlineStr">
        <is>
          <t>CheckedAt</t>
        </is>
      </c>
    </row>
    <row r="2">
      <c r="A2" t="inlineStr">
        <is>
          <t>Vercel</t>
        </is>
      </c>
      <c r="B2" t="inlineStr">
        <is>
          <t>ok</t>
        </is>
      </c>
      <c r="C2" t="inlineStr">
        <is>
          <t>Team dc-joinery plan=hobby</t>
        </is>
      </c>
      <c r="D2" t="inlineStr">
        <is>
          <t>2026-08-18T13:09:16Z</t>
        </is>
      </c>
    </row>
    <row r="3">
      <c r="A3" t="inlineStr">
        <is>
          <t>Supabase</t>
        </is>
      </c>
      <c r="B3" t="inlineStr">
        <is>
          <t>ok</t>
        </is>
      </c>
      <c r="C3" t="inlineStr">
        <is>
          <t>jobs_28d=45 storage_probe_status=406 storage_probe_details={'code': 'PGRST106', 'details': None, 'hint': 'Only the following schemas are exposed: public, graphql_public', 'message': 'Invalid schema: storage'}</t>
        </is>
      </c>
      <c r="D3" t="inlineStr">
        <is>
          <t>2026-08-18T13:09:16Z</t>
        </is>
      </c>
    </row>
    <row r="4">
      <c r="A4" t="inlineStr">
        <is>
          <t>Resend</t>
        </is>
      </c>
      <c r="B4" t="inlineStr">
        <is>
          <t>ok</t>
        </is>
      </c>
      <c r="C4" t="inlineStr">
        <is>
          <t>emails_28d=4 api_status=200</t>
        </is>
      </c>
      <c r="D4" t="inlineStr">
        <is>
          <t>2026-08-18T13:09:16Z</t>
        </is>
      </c>
    </row>
    <row r="5">
      <c r="A5" t="inlineStr">
        <is>
          <t>OpenAI</t>
        </is>
      </c>
      <c r="B5" t="inlineStr">
        <is>
          <t>pending</t>
        </is>
      </c>
      <c r="C5" t="inlineStr">
        <is>
          <t>status=403 details={'error': "You have insufficient permissions for this operation. Missing scopes: api.usage.read. Check that you have the correct role in your organization, and if you're using a restricted API key, that it has the necessary scopes."}</t>
        </is>
      </c>
      <c r="D5" t="inlineStr">
        <is>
          <t>2026-08-18T13:09:16Z</t>
        </is>
      </c>
    </row>
    <row r="6">
      <c r="A6" t="inlineStr">
        <is>
          <t>Replicate</t>
        </is>
      </c>
      <c r="B6" t="inlineStr">
        <is>
          <t>ok</t>
        </is>
      </c>
      <c r="C6" t="inlineStr">
        <is>
          <t>predictions_28d=33 predict_time_sec_28d=603.16</t>
        </is>
      </c>
      <c r="D6" t="inlineStr">
        <is>
          <t>2026-08-18T13:09:16Z</t>
        </is>
      </c>
    </row>
    <row r="7">
      <c r="A7" t="inlineStr">
        <is>
          <t>PDFShift</t>
        </is>
      </c>
      <c r="B7" t="inlineStr">
        <is>
          <t>pending</t>
        </is>
      </c>
      <c r="C7" t="inlineStr">
        <is>
          <t>status=403 mode=x-api-key details={'success': False, 'error': 'No remaining credits left.', 'code': 403}</t>
        </is>
      </c>
      <c r="D7" t="inlineStr">
        <is>
          <t>2026-08-18T13:09:16Z</t>
        </is>
      </c>
    </row>
    <row r="8">
      <c r="A8" t="inlineStr">
        <is>
          <t>Domain Registrar</t>
        </is>
      </c>
      <c r="B8" t="inlineStr">
        <is>
          <t>pending</t>
        </is>
      </c>
      <c r="C8" t="inlineStr">
        <is>
          <t>Credential present, invoice/usage amount still required.</t>
        </is>
      </c>
      <c r="D8" t="inlineStr">
        <is>
          <t>2026-08-18T13:09:16Z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2026-08-18T13:09:20Z</dcterms:created>
  <dcterms:modified xsi:type="dcterms:W3CDTF">2026-08-18T13:09:20Z</dcterms:modified>
</cp:coreProperties>
</file>